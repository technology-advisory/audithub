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211bbafaa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373d38acf7f344e2"/>
    <x:sheet xmlns:r="http://schemas.openxmlformats.org/officeDocument/2006/relationships" name="Matriz 5x5" sheetId="2" r:id="R3c4c402b8d1048f9"/>
    <x:sheet xmlns:r="http://schemas.openxmlformats.org/officeDocument/2006/relationships" name="Plan tratamiento" sheetId="3" r:id="Ra7fc56cd070f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EUR&quot;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9"/>
      <x:color rgb="FFB03232"/>
      <x:name val="Carlito"/>
    </x:font>
    <x:font>
      <x:b/>
      <x:sz val="10"/>
      <x:color rgb="FFFFFFFF"/>
      <x:name val="Carlito"/>
    </x:font>
    <x:font>
      <x:b/>
      <x:sz val="11"/>
      <x:color rgb="FF0F2747"/>
      <x:name val="Carlito"/>
    </x:font>
    <x:font>
      <x:b/>
      <x:sz val="11"/>
      <x:color rgb="FF0F172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2FF"/>
      </x:patternFill>
    </x:fill>
    <x:fill>
      <x:patternFill patternType="solid">
        <x:fgColor rgb="FFFEE2E2"/>
      </x:patternFill>
    </x:fill>
    <x:fill>
      <x:patternFill patternType="solid">
        <x:fgColor rgb="FFFECACA"/>
      </x:patternFill>
    </x:fill>
    <x:fill>
      <x:patternFill patternType="solid">
        <x:fgColor rgb="FFFCA5A5"/>
      </x:patternFill>
    </x:fill>
    <x:fill>
      <x:patternFill patternType="solid">
        <x:fgColor rgb="FFF87171"/>
      </x:patternFill>
    </x:fill>
    <x:fill>
      <x:patternFill patternType="solid">
        <x:fgColor rgb="FFDC2626"/>
      </x:patternFill>
    </x:fill>
    <x:fill>
      <x:patternFill patternType="solid">
        <x:fgColor rgb="FFFEF3C7"/>
      </x:patternFill>
    </x:fill>
    <x:fill>
      <x:patternFill patternType="solid">
        <x:fgColor rgb="FFFDE68A"/>
      </x:patternFill>
    </x:fill>
    <x:fill>
      <x:patternFill patternType="solid">
        <x:fgColor rgb="FFFBBF24"/>
      </x:patternFill>
    </x:fill>
    <x:fill>
      <x:patternFill patternType="solid">
        <x:fgColor rgb="FFF59E0B"/>
      </x:patternFill>
    </x:fill>
    <x:fill>
      <x:patternFill patternType="solid">
        <x:fgColor rgb="FFEF4444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horizont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horizont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5" fillId="13" borderId="1" xfId="0" applyNumberFormat="1" applyFont="1" applyFill="1" applyBorder="1"/>
    <x:xf numFmtId="0" fontId="5" fillId="13" borderId="1" xfId="0" applyNumberFormat="1" applyFont="1" applyFill="1" applyBorder="1" applyAlignment="1">
      <x:alignment wrapText="1"/>
    </x:xf>
    <x:xf numFmtId="0" fontId="5" fillId="13" borderId="1" xfId="0" applyNumberFormat="1" applyFont="1" applyFill="1" applyBorder="1" applyAlignment="1">
      <x:alignment horizontal="center" wrapText="1"/>
    </x:xf>
    <x:xf numFmtId="0" fontId="5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horizontal="center" wrapText="1"/>
    </x:xf>
    <x:xf numFmtId="0" fontId="5" fillId="1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1b9a292bd458a" /><Relationship Type="http://schemas.openxmlformats.org/officeDocument/2006/relationships/theme" Target="/xl/theme/theme1.xml" Id="R58ba1872a58d46f8" /><Relationship Type="http://schemas.openxmlformats.org/officeDocument/2006/relationships/sharedStrings" Target="/xl/sharedStrings.xml" Id="R61f5b25b22954204" /><Relationship Type="http://schemas.openxmlformats.org/officeDocument/2006/relationships/worksheet" Target="/xl/worksheets/sheet1.xml" Id="R373d38acf7f344e2" /><Relationship Type="http://schemas.openxmlformats.org/officeDocument/2006/relationships/worksheet" Target="/xl/worksheets/sheet2.xml" Id="R3c4c402b8d1048f9" /><Relationship Type="http://schemas.openxmlformats.org/officeDocument/2006/relationships/worksheet" Target="/xl/worksheets/sheet3.xml" Id="Ra7fc56cd070f47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23" hidden="0" customWidth="1"/>
    <x:col min="4" max="4" width="30" hidden="0" customWidth="1"/>
    <x:col min="5" max="5" width="18" hidden="0" customWidth="1"/>
    <x:col min="6" max="6" width="8" hidden="0" customWidth="1"/>
    <x:col min="7" max="7" width="9" hidden="0" customWidth="1"/>
    <x:col min="8" max="8" width="13" hidden="0" customWidth="1"/>
    <x:col min="9" max="9" width="14" hidden="0" customWidth="1"/>
    <x:col min="10" max="10" width="18" hidden="0" customWidth="1"/>
    <x:col min="11" max="11" width="27" hidden="0" customWidth="1"/>
    <x:col min="12" max="12" width="13" hidden="0" customWidth="1"/>
    <x:col min="13" max="13" width="18" hidden="0" customWidth="1"/>
    <x:col min="14" max="14" width="14" hidden="0" customWidth="1"/>
  </x:cols>
  <x:sheetData>
    <x:row r="1" ht="28" customHeight="1">
      <x:c r="A1" s="5" t="str">
        <x:v>Registro de Riesgos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1" t="str">
        <x:v>ID</x:v>
      </x:c>
      <x:c r="B4" s="21" t="str">
        <x:v>Riesgo</x:v>
      </x:c>
      <x:c r="C4" s="21" t="str">
        <x:v>Activo / proceso</x:v>
      </x:c>
      <x:c r="D4" s="21" t="str">
        <x:v>Escenario</x:v>
      </x:c>
      <x:c r="E4" s="21" t="str">
        <x:v>Propietario</x:v>
      </x:c>
      <x:c r="F4" s="21" t="str">
        <x:v>Prob.</x:v>
      </x:c>
      <x:c r="G4" s="21" t="str">
        <x:v>Impacto</x:v>
      </x:c>
      <x:c r="H4" s="21" t="str">
        <x:v>Nivel inherente</x:v>
      </x:c>
      <x:c r="I4" s="21" t="str">
        <x:v>Tratamiento</x:v>
      </x:c>
      <x:c r="J4" s="21" t="str">
        <x:v>Controles</x:v>
      </x:c>
      <x:c r="K4" s="21" t="str">
        <x:v>Acción principal</x:v>
      </x:c>
      <x:c r="L4" s="21" t="str">
        <x:v>Riesgo residual</x:v>
      </x:c>
      <x:c r="M4" s="21" t="str">
        <x:v>Estado</x:v>
      </x:c>
      <x:c r="N4" s="21" t="str">
        <x:v>Revisión</x:v>
      </x:c>
    </x:row>
    <x:row r="5">
      <x:c r="A5" s="26" t="str">
        <x:v>R-001</x:v>
      </x:c>
      <x:c r="B5" s="26" t="str">
        <x:v>Acceso no autorizado a información sensible</x:v>
      </x:c>
      <x:c r="C5" s="26" t="str">
        <x:v>Microsoft 365 / SharePoint</x:v>
      </x:c>
      <x:c r="D5" s="26" t="str">
        <x:v>Permisos excesivos o enlace público</x:v>
      </x:c>
      <x:c r="E5" s="26" t="str">
        <x:v>CISO</x:v>
      </x:c>
      <x:c r="F5" s="26" t="n">
        <x:v>3</x:v>
      </x:c>
      <x:c r="G5" s="26" t="n">
        <x:v>5</x:v>
      </x:c>
      <x:c r="H5" s="26" t="n">
        <x:f>F5*G5</x:f>
        <x:v>15</x:v>
      </x:c>
      <x:c r="I5" s="26" t="str">
        <x:v>Mitigar</x:v>
      </x:c>
      <x:c r="J5" s="26" t="str">
        <x:v>A.5.15; A.5.18</x:v>
      </x:c>
      <x:c r="K5" s="26" t="str">
        <x:v>Recertificación trimestral</x:v>
      </x:c>
      <x:c r="L5" s="26" t="n">
        <x:v>8</x:v>
      </x:c>
      <x:c r="M5" s="26" t="str">
        <x:v>En tratamiento</x:v>
      </x:c>
      <x:c r="N5" s="26" t="str">
        <x:v>2026-08-15</x:v>
      </x:c>
    </x:row>
    <x:row r="6">
      <x:c r="A6" s="26" t="str">
        <x:v>R-002</x:v>
      </x:c>
      <x:c r="B6" s="26" t="str">
        <x:v>Interrupción de servicios cloud</x:v>
      </x:c>
      <x:c r="C6" s="26" t="str">
        <x:v>Azure producción</x:v>
      </x:c>
      <x:c r="D6" s="26" t="str">
        <x:v>Fallo regional o dependencia del proveedor</x:v>
      </x:c>
      <x:c r="E6" s="26" t="str">
        <x:v>Infraestructura</x:v>
      </x:c>
      <x:c r="F6" s="26" t="n">
        <x:v>2</x:v>
      </x:c>
      <x:c r="G6" s="26" t="n">
        <x:v>4</x:v>
      </x:c>
      <x:c r="H6" s="26" t="n">
        <x:f>F6*G6</x:f>
        <x:v>8</x:v>
      </x:c>
      <x:c r="I6" s="26" t="str">
        <x:v>Transferir</x:v>
      </x:c>
      <x:c r="J6" s="26" t="str">
        <x:v>A.5.23; A.5.30</x:v>
      </x:c>
      <x:c r="K6" s="26" t="str">
        <x:v>DR en North Europe</x:v>
      </x:c>
      <x:c r="L6" s="26" t="n">
        <x:v>4</x:v>
      </x:c>
      <x:c r="M6" s="26" t="str">
        <x:v>Identificado</x:v>
      </x:c>
      <x:c r="N6" s="26" t="str">
        <x:v>2026-09-01</x:v>
      </x:c>
    </x:row>
    <x:row r="7">
      <x:c r="A7" s="26" t="str">
        <x:v>R-003</x:v>
      </x:c>
      <x:c r="B7" s="26" t="str">
        <x:v>Explotación de vulnerabilidad crítica</x:v>
      </x:c>
      <x:c r="C7" s="26" t="str">
        <x:v>Servidores públicos</x:v>
      </x:c>
      <x:c r="D7" s="26" t="str">
        <x:v>Exposición antes de aplicar parche</x:v>
      </x:c>
      <x:c r="E7" s="26" t="str">
        <x:v>Seguridad</x:v>
      </x:c>
      <x:c r="F7" s="26" t="n">
        <x:v>4</x:v>
      </x:c>
      <x:c r="G7" s="26" t="n">
        <x:v>5</x:v>
      </x:c>
      <x:c r="H7" s="26" t="n">
        <x:f>F7*G7</x:f>
        <x:v>20</x:v>
      </x:c>
      <x:c r="I7" s="26" t="str">
        <x:v>Mitigar</x:v>
      </x:c>
      <x:c r="J7" s="26" t="str">
        <x:v>A.8.8</x:v>
      </x:c>
      <x:c r="K7" s="26" t="str">
        <x:v>Aprobar SLA por criticidad</x:v>
      </x:c>
      <x:c r="L7" s="26" t="n">
        <x:v>12</x:v>
      </x:c>
      <x:c r="M7" s="26" t="str">
        <x:v>En tratamiento</x:v>
      </x:c>
      <x:c r="N7" s="26" t="str">
        <x:v>2026-07-31</x:v>
      </x:c>
    </x:row>
    <x:row r="8">
      <x:c r="A8" s="26" t="str">
        <x:v>R-004</x:v>
      </x:c>
      <x:c r="B8" s="26" t="str">
        <x:v>Pérdida de evidencias de auditoría</x:v>
      </x:c>
      <x:c r="C8" s="26" t="str">
        <x:v>Repositorio GRC</x:v>
      </x:c>
      <x:c r="D8" s="26" t="str">
        <x:v>Borrado o corrupción de registros</x:v>
      </x:c>
      <x:c r="E8" s="26" t="str">
        <x:v>GRC</x:v>
      </x:c>
      <x:c r="F8" s="26" t="n">
        <x:v>2</x:v>
      </x:c>
      <x:c r="G8" s="26" t="n">
        <x:v>5</x:v>
      </x:c>
      <x:c r="H8" s="26" t="n">
        <x:f>F8*G8</x:f>
        <x:v>10</x:v>
      </x:c>
      <x:c r="I8" s="26" t="str">
        <x:v>Mitigar</x:v>
      </x:c>
      <x:c r="J8" s="26" t="str">
        <x:v>7.5; A.5.33</x:v>
      </x:c>
      <x:c r="K8" s="26" t="str">
        <x:v>Backup inmutable y retención</x:v>
      </x:c>
      <x:c r="L8" s="26" t="n">
        <x:v>5</x:v>
      </x:c>
      <x:c r="M8" s="26" t="str">
        <x:v>En tratamiento</x:v>
      </x:c>
      <x:c r="N8" s="26" t="str">
        <x:v>2026-08-20</x:v>
      </x:c>
    </x:row>
    <x:row r="9">
      <x:c r="A9" s="26" t="str">
        <x:v>R-005</x:v>
      </x:c>
      <x:c r="B9" s="26" t="str">
        <x:v>Fuga de información por proveedor</x:v>
      </x:c>
      <x:c r="C9" s="26" t="str">
        <x:v>Cadena de suministro</x:v>
      </x:c>
      <x:c r="D9" s="26" t="str">
        <x:v>Subencargado no evaluado</x:v>
      </x:c>
      <x:c r="E9" s="26" t="str">
        <x:v>Compras</x:v>
      </x:c>
      <x:c r="F9" s="26" t="n">
        <x:v>3</x:v>
      </x:c>
      <x:c r="G9" s="26" t="n">
        <x:v>4</x:v>
      </x:c>
      <x:c r="H9" s="26" t="n">
        <x:f>F9*G9</x:f>
        <x:v>12</x:v>
      </x:c>
      <x:c r="I9" s="26" t="str">
        <x:v>Mitigar</x:v>
      </x:c>
      <x:c r="J9" s="26" t="str">
        <x:v>A.5.19; A.5.21</x:v>
      </x:c>
      <x:c r="K9" s="26" t="str">
        <x:v>Actualizar DPA</x:v>
      </x:c>
      <x:c r="L9" s="26" t="n">
        <x:v>8</x:v>
      </x:c>
      <x:c r="M9" s="26" t="str">
        <x:v>Identificado</x:v>
      </x:c>
      <x:c r="N9" s="26" t="str">
        <x:v>2026-09-15</x:v>
      </x:c>
    </x:row>
    <x:row r="10">
      <x:c r="A10" s="26" t="str">
        <x:v>R-006</x:v>
      </x:c>
      <x:c r="B10" s="26" t="str">
        <x:v>Indisponibilidad por ransomware</x:v>
      </x:c>
      <x:c r="C10" s="26" t="str">
        <x:v>Endpoints y servidores</x:v>
      </x:c>
      <x:c r="D10" s="26" t="str">
        <x:v>Cifrado de sistemas críticos</x:v>
      </x:c>
      <x:c r="E10" s="26" t="str">
        <x:v>CISO</x:v>
      </x:c>
      <x:c r="F10" s="26" t="n">
        <x:v>3</x:v>
      </x:c>
      <x:c r="G10" s="26" t="n">
        <x:v>5</x:v>
      </x:c>
      <x:c r="H10" s="26" t="n">
        <x:f>F10*G10</x:f>
        <x:v>15</x:v>
      </x:c>
      <x:c r="I10" s="26" t="str">
        <x:v>Mitigar</x:v>
      </x:c>
      <x:c r="J10" s="26" t="str">
        <x:v>A.8.7; A.8.13</x:v>
      </x:c>
      <x:c r="K10" s="26" t="str">
        <x:v>EDR + backups inmutables</x:v>
      </x:c>
      <x:c r="L10" s="26" t="n">
        <x:v>8</x:v>
      </x:c>
      <x:c r="M10" s="26" t="str">
        <x:v>En tratamiento</x:v>
      </x:c>
      <x:c r="N10" s="26" t="str">
        <x:v>2026-08-10</x:v>
      </x:c>
    </x:row>
    <x:row r="11">
      <x:c r="A11" s="26" t="str">
        <x:v>R-007</x:v>
      </x:c>
      <x:c r="B11" s="26" t="str">
        <x:v>Error en cambios de producción</x:v>
      </x:c>
      <x:c r="C11" s="26" t="str">
        <x:v>AKS / aplicaciones</x:v>
      </x:c>
      <x:c r="D11" s="26" t="str">
        <x:v>Despliegue defectuoso</x:v>
      </x:c>
      <x:c r="E11" s="26" t="str">
        <x:v>Operaciones</x:v>
      </x:c>
      <x:c r="F11" s="26" t="n">
        <x:v>3</x:v>
      </x:c>
      <x:c r="G11" s="26" t="n">
        <x:v>3</x:v>
      </x:c>
      <x:c r="H11" s="26" t="n">
        <x:f>F11*G11</x:f>
        <x:v>9</x:v>
      </x:c>
      <x:c r="I11" s="26" t="str">
        <x:v>Mitigar</x:v>
      </x:c>
      <x:c r="J11" s="26" t="str">
        <x:v>A.8.32</x:v>
      </x:c>
      <x:c r="K11" s="26" t="str">
        <x:v>Aprobación + rollback</x:v>
      </x:c>
      <x:c r="L11" s="26" t="n">
        <x:v>4</x:v>
      </x:c>
      <x:c r="M11" s="26" t="str">
        <x:v>Aceptado</x:v>
      </x:c>
      <x:c r="N11" s="26" t="str">
        <x:v>2026-10-01</x:v>
      </x:c>
    </x:row>
    <x:row r="12">
      <x:c r="A12" s="26" t="str">
        <x:v>R-008</x:v>
      </x:c>
      <x:c r="B12" s="26" t="str">
        <x:v>Incumplimiento de retención legal</x:v>
      </x:c>
      <x:c r="C12" s="26" t="str">
        <x:v>Registros corporativos</x:v>
      </x:c>
      <x:c r="D12" s="26" t="str">
        <x:v>Eliminación anticipada o exceso</x:v>
      </x:c>
      <x:c r="E12" s="26" t="str">
        <x:v>Legal</x:v>
      </x:c>
      <x:c r="F12" s="26" t="n">
        <x:v>2</x:v>
      </x:c>
      <x:c r="G12" s="26" t="n">
        <x:v>4</x:v>
      </x:c>
      <x:c r="H12" s="26" t="n">
        <x:f>F12*G12</x:f>
        <x:v>8</x:v>
      </x:c>
      <x:c r="I12" s="26" t="str">
        <x:v>Evitar</x:v>
      </x:c>
      <x:c r="J12" s="26" t="str">
        <x:v>A.5.31; A.5.33</x:v>
      </x:c>
      <x:c r="K12" s="26" t="str">
        <x:v>Calendario de conservación</x:v>
      </x:c>
      <x:c r="L12" s="26" t="n">
        <x:v>4</x:v>
      </x:c>
      <x:c r="M12" s="26" t="str">
        <x:v>Identificado</x:v>
      </x:c>
      <x:c r="N12" s="26" t="str">
        <x:v>2026-09-30</x:v>
      </x:c>
    </x:row>
    <x:row r="13">
      <x:c r="A13" s="26" t="str">
        <x:v>R-009</x:v>
      </x:c>
      <x:c r="B13" s="26" t="str">
        <x:v>Compromiso de cuenta privilegiada</x:v>
      </x:c>
      <x:c r="C13" s="26" t="str">
        <x:v>Entra ID / Azure</x:v>
      </x:c>
      <x:c r="D13" s="26" t="str">
        <x:v>Robo de token o phishing</x:v>
      </x:c>
      <x:c r="E13" s="26" t="str">
        <x:v>CISO</x:v>
      </x:c>
      <x:c r="F13" s="26" t="n">
        <x:v>3</x:v>
      </x:c>
      <x:c r="G13" s="26" t="n">
        <x:v>5</x:v>
      </x:c>
      <x:c r="H13" s="26" t="n">
        <x:f>F13*G13</x:f>
        <x:v>15</x:v>
      </x:c>
      <x:c r="I13" s="26" t="str">
        <x:v>Mitigar</x:v>
      </x:c>
      <x:c r="J13" s="26" t="str">
        <x:v>A.8.2; A.8.5</x:v>
      </x:c>
      <x:c r="K13" s="26" t="str">
        <x:v>PIM + MFA resistente</x:v>
      </x:c>
      <x:c r="L13" s="26" t="n">
        <x:v>6</x:v>
      </x:c>
      <x:c r="M13" s="26" t="str">
        <x:v>En tratamiento</x:v>
      </x:c>
      <x:c r="N13" s="26" t="str">
        <x:v>2026-08-30</x:v>
      </x:c>
    </x:row>
    <x:row r="14">
      <x:c r="A14" s="26" t="str">
        <x:v>R-010</x:v>
      </x:c>
      <x:c r="B14" s="26" t="str">
        <x:v>Exposición de secretos en repositorio</x:v>
      </x:c>
      <x:c r="C14" s="26" t="str">
        <x:v>GitHub</x:v>
      </x:c>
      <x:c r="D14" s="26" t="str">
        <x:v>Commit accidental de credenciales</x:v>
      </x:c>
      <x:c r="E14" s="26" t="str">
        <x:v>CTO</x:v>
      </x:c>
      <x:c r="F14" s="26" t="n">
        <x:v>2</x:v>
      </x:c>
      <x:c r="G14" s="26" t="n">
        <x:v>5</x:v>
      </x:c>
      <x:c r="H14" s="26" t="n">
        <x:f>F14*G14</x:f>
        <x:v>10</x:v>
      </x:c>
      <x:c r="I14" s="26" t="str">
        <x:v>Mitigar</x:v>
      </x:c>
      <x:c r="J14" s="26" t="str">
        <x:v>A.8.4; A.8.28</x:v>
      </x:c>
      <x:c r="K14" s="26" t="str">
        <x:v>Secret scanning + Key Vault</x:v>
      </x:c>
      <x:c r="L14" s="26" t="n">
        <x:v>5</x:v>
      </x:c>
      <x:c r="M14" s="26" t="str">
        <x:v>En tratamiento</x:v>
      </x:c>
      <x:c r="N14" s="26" t="str">
        <x:v>2026-08-25</x:v>
      </x:c>
    </x:row>
  </x:sheetData>
  <x:mergeCells>
    <x:mergeCell ref="A1:N1"/>
    <x:mergeCell ref="A2:N2"/>
  </x:mergeCells>
  <x:conditionalFormatting sqref="H5:H1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5:L14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F5:G14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Matriz de Riesgos 5×5</x:v>
      </x:c>
      <x:c r="B1" s="5"/>
      <x:c r="C1" s="5"/>
      <x:c r="D1" s="5"/>
      <x:c r="E1" s="5"/>
      <x:c r="F1" s="5"/>
      <x:c r="G1" s="5"/>
    </x:row>
    <x:row r="2" ht="20" customHeight="1">
      <x:c r="A2" s="13" t="str">
        <x:v>OpenTrust Demo Services, S.L. · DATOS DE DEMOSTRACIÓN - ORGANIZACIÓN FICTICIA · Impacto horizontal / Probabilidad vertical</x:v>
      </x:c>
      <x:c r="B2" s="13"/>
      <x:c r="C2" s="13"/>
      <x:c r="D2" s="13"/>
      <x:c r="E2" s="13"/>
      <x:c r="F2" s="13"/>
      <x:c r="G2" s="13"/>
    </x:row>
    <x:row r="4" ht="42" customHeight="1">
      <x:c r="A4" s="21" t="str">
        <x:v>Prob. \ Impacto</x:v>
      </x:c>
      <x:c r="B4" s="21" t="str">
        <x:v>1 Insignificante</x:v>
      </x:c>
      <x:c r="C4" s="21" t="str">
        <x:v>2 Menor</x:v>
      </x:c>
      <x:c r="D4" s="21" t="str">
        <x:v>3 Moderado</x:v>
      </x:c>
      <x:c r="E4" s="21" t="str">
        <x:v>4 Mayor</x:v>
      </x:c>
      <x:c r="F4" s="21" t="str">
        <x:v>5 Crítico</x:v>
      </x:c>
      <x:c r="G4" s="21" t="str">
        <x:v>Riesgos demo</x:v>
      </x:c>
    </x:row>
    <x:row r="5" ht="42" customHeight="1">
      <x:c r="A5" s="30" t="str">
        <x:v>5 Casi seguro</x:v>
      </x:c>
      <x:c r="B5" s="38" t="str"/>
      <x:c r="C5" s="48" t="str"/>
      <x:c r="D5" s="58" t="str"/>
      <x:c r="E5" s="68" t="str"/>
      <x:c r="F5" s="78" t="str"/>
      <x:c r="G5" t="str"/>
    </x:row>
    <x:row r="6" ht="42" customHeight="1">
      <x:c r="A6" s="30" t="str">
        <x:v>4 Probable</x:v>
      </x:c>
      <x:c r="B6" s="88" t="str"/>
      <x:c r="C6" s="98" t="str"/>
      <x:c r="D6" s="108" t="str"/>
      <x:c r="E6" s="118" t="str"/>
      <x:c r="F6" s="128" t="str">
        <x:v>R-003</x:v>
      </x:c>
      <x:c r="G6" t="str">
        <x:v>R-003</x:v>
      </x:c>
    </x:row>
    <x:row r="7" ht="42" customHeight="1">
      <x:c r="A7" s="30" t="str">
        <x:v>3 Posible</x:v>
      </x:c>
      <x:c r="B7" s="138" t="str"/>
      <x:c r="C7" s="88" t="str"/>
      <x:c r="D7" s="98" t="str">
        <x:v>R-007</x:v>
      </x:c>
      <x:c r="E7" s="108" t="str">
        <x:v>R-005</x:v>
      </x:c>
      <x:c r="F7" s="68" t="str">
        <x:v>R-001; R-006; R-009</x:v>
      </x:c>
      <x:c r="G7" t="str">
        <x:v>R-001, R-005, R-006, R-007, R-009</x:v>
      </x:c>
    </x:row>
    <x:row r="8" ht="42" customHeight="1">
      <x:c r="A8" s="30" t="str">
        <x:v>2 Improbable</x:v>
      </x:c>
      <x:c r="B8" s="138" t="str"/>
      <x:c r="C8" s="138" t="str"/>
      <x:c r="D8" s="88" t="str"/>
      <x:c r="E8" s="98" t="str">
        <x:v>R-002; R-008</x:v>
      </x:c>
      <x:c r="F8" s="108" t="str">
        <x:v>R-004; R-010</x:v>
      </x:c>
      <x:c r="G8" t="str">
        <x:v>R-002, R-004, R-008, R-010</x:v>
      </x:c>
    </x:row>
    <x:row r="9" ht="42" customHeight="1">
      <x:c r="A9" s="30" t="str">
        <x:v>1 Raro</x:v>
      </x:c>
      <x:c r="B9" s="138" t="str"/>
      <x:c r="C9" s="138" t="str"/>
      <x:c r="D9" s="138" t="str"/>
      <x:c r="E9" s="88" t="str"/>
      <x:c r="F9" s="98" t="str"/>
      <x:c r="G9" t="str"/>
    </x:row>
    <x:row r="10" ht="42" customHeight="1">
      <x:c r="A10" t="str">
        <x:v>Leyenda</x:v>
      </x:c>
      <x:c r="B10" t="str">
        <x:v>1-4 Bajo</x:v>
      </x:c>
      <x:c r="C10" t="str">
        <x:v>5-9 Moderado</x:v>
      </x:c>
      <x:c r="D10" t="str">
        <x:v>10-14 Alto</x:v>
      </x:c>
      <x:c r="E10" t="str">
        <x:v>15-19 Muy alto</x:v>
      </x:c>
      <x:c r="F10" t="str">
        <x:v>20-25 Crítico</x:v>
      </x:c>
      <x:c r="G10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7" hidden="0" customWidth="1"/>
    <x:col min="5" max="5" width="13" hidden="0" customWidth="1"/>
    <x:col min="6" max="6" width="13" hidden="0" customWidth="1"/>
    <x:col min="7" max="7" width="18" hidden="0" customWidth="1"/>
    <x:col min="8" max="8" width="12" hidden="0" customWidth="1"/>
    <x:col min="9" max="9" width="16" hidden="0" customWidth="1"/>
    <x:col min="10" max="10" width="14" hidden="0" customWidth="1"/>
  </x:cols>
  <x:sheetData>
    <x:row r="1" ht="28" customHeight="1">
      <x:c r="A1" s="5" t="str">
        <x:v>Plan de Tratamiento de Riesgos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1" t="str">
        <x:v>ID</x:v>
      </x:c>
      <x:c r="B4" s="21" t="str">
        <x:v>Riesgo</x:v>
      </x:c>
      <x:c r="C4" s="21" t="str">
        <x:v>Medida</x:v>
      </x:c>
      <x:c r="D4" s="21" t="str">
        <x:v>Responsable</x:v>
      </x:c>
      <x:c r="E4" s="21" t="str">
        <x:v>Inicio</x:v>
      </x:c>
      <x:c r="F4" s="21" t="str">
        <x:v>Objetivo</x:v>
      </x:c>
      <x:c r="G4" s="21" t="str">
        <x:v>Presupuesto demo</x:v>
      </x:c>
      <x:c r="H4" s="21" t="str">
        <x:v>Progreso</x:v>
      </x:c>
      <x:c r="I4" s="21" t="str">
        <x:v>Estado</x:v>
      </x:c>
      <x:c r="J4" s="21" t="str">
        <x:v>Evidencia</x:v>
      </x:c>
    </x:row>
    <x:row r="5">
      <x:c r="A5" t="str">
        <x:v>R-003</x:v>
      </x:c>
      <x:c r="B5" t="str">
        <x:v>Vulnerabilidad crítica</x:v>
      </x:c>
      <x:c r="C5" t="str">
        <x:v>Aprobar SLA y automatizar escalado</x:v>
      </x:c>
      <x:c r="D5" t="str">
        <x:v>CISO</x:v>
      </x:c>
      <x:c r="E5" t="str">
        <x:v>2026-07-15</x:v>
      </x:c>
      <x:c r="F5" t="str">
        <x:v>2026-08-10</x:v>
      </x:c>
      <x:c r="G5" s="144" t="n">
        <x:v>18000</x:v>
      </x:c>
      <x:c r="H5" t="n">
        <x:v>60</x:v>
      </x:c>
      <x:c r="I5" t="str">
        <x:v>En curso</x:v>
      </x:c>
      <x:c r="J5" t="str">
        <x:v>ACT-a1</x:v>
      </x:c>
    </x:row>
    <x:row r="6">
      <x:c r="A6" t="str">
        <x:v>R-005</x:v>
      </x:c>
      <x:c r="B6" t="str">
        <x:v>Fuga por proveedor</x:v>
      </x:c>
      <x:c r="C6" t="str">
        <x:v>Actualizar DPA y subencargados</x:v>
      </x:c>
      <x:c r="D6" t="str">
        <x:v>Legal</x:v>
      </x:c>
      <x:c r="E6" t="str">
        <x:v>2026-07-18</x:v>
      </x:c>
      <x:c r="F6" t="str">
        <x:v>2026-09-15</x:v>
      </x:c>
      <x:c r="G6" s="144" t="n">
        <x:v>3000</x:v>
      </x:c>
      <x:c r="H6" t="n">
        <x:v>15</x:v>
      </x:c>
      <x:c r="I6" t="str">
        <x:v>Pendiente</x:v>
      </x:c>
      <x:c r="J6" t="str">
        <x:v>ACT-a4</x:v>
      </x:c>
    </x:row>
    <x:row r="7">
      <x:c r="A7" t="str">
        <x:v>R-006</x:v>
      </x:c>
      <x:c r="B7" t="str">
        <x:v>Ransomware</x:v>
      </x:c>
      <x:c r="C7" t="str">
        <x:v>Completar aislamiento automatizado</x:v>
      </x:c>
      <x:c r="D7" t="str">
        <x:v>SOC</x:v>
      </x:c>
      <x:c r="E7" t="str">
        <x:v>2026-07-20</x:v>
      </x:c>
      <x:c r="F7" t="str">
        <x:v>2026-08-30</x:v>
      </x:c>
      <x:c r="G7" s="144" t="n">
        <x:v>6500</x:v>
      </x:c>
      <x:c r="H7" t="n">
        <x:v>45</x:v>
      </x:c>
      <x:c r="I7" t="str">
        <x:v>En curso</x:v>
      </x:c>
      <x:c r="J7" t="str">
        <x:v>ACT-a7</x:v>
      </x:c>
    </x:row>
    <x:row r="8">
      <x:c r="A8" t="str">
        <x:v>R-009</x:v>
      </x:c>
      <x:c r="B8" t="str">
        <x:v>Cuenta privilegiada</x:v>
      </x:c>
      <x:c r="C8" t="str">
        <x:v>Piloto MFA resistente a phishing</x:v>
      </x:c>
      <x:c r="D8" t="str">
        <x:v>IT</x:v>
      </x:c>
      <x:c r="E8" t="str">
        <x:v>2026-08-01</x:v>
      </x:c>
      <x:c r="F8" t="str">
        <x:v>2026-09-30</x:v>
      </x:c>
      <x:c r="G8" s="144" t="n">
        <x:v>4200</x:v>
      </x:c>
      <x:c r="H8" t="n">
        <x:v>10</x:v>
      </x:c>
      <x:c r="I8" t="str">
        <x:v>Pendiente</x:v>
      </x:c>
      <x:c r="J8" t="str">
        <x:v>ACT-a8</x:v>
      </x:c>
    </x:row>
    <x:row r="9">
      <x:c r="A9" t="str">
        <x:v>R-010</x:v>
      </x:c>
      <x:c r="B9" t="str">
        <x:v>Secretos en GitHub</x:v>
      </x:c>
      <x:c r="C9" t="str">
        <x:v>Activar push protection global</x:v>
      </x:c>
      <x:c r="D9" t="str">
        <x:v>CTO</x:v>
      </x:c>
      <x:c r="E9" t="str">
        <x:v>2026-07-25</x:v>
      </x:c>
      <x:c r="F9" t="str">
        <x:v>2026-08-25</x:v>
      </x:c>
      <x:c r="G9" s="144" t="n">
        <x:v>0</x:v>
      </x:c>
      <x:c r="H9" t="n">
        <x:v>75</x:v>
      </x:c>
      <x:c r="I9" t="str">
        <x:v>En curso</x:v>
      </x:c>
      <x:c r="J9" t="str">
        <x:v>ACT-a9</x:v>
      </x:c>
    </x:row>
  </x:sheetData>
  <x:mergeCells>
    <x:mergeCell ref="A1:J1"/>
    <x:mergeCell ref="A2:J2"/>
  </x:mergeCells>
  <x:conditionalFormatting sqref="H5:H9">
    <x:cfRule type="dataBar" priority="1">
      <x:dataBar>
        <x:cfvo type="min"/>
        <x:cfvo type="max"/>
        <x:color rgb="FF275EFE"/>
      </x:dataBar>
      <x:extLst>
        <x:ext xmlns:x14="http://schemas.microsoft.com/office/spreadsheetml/2009/9/main" uri="{B025F937-C7B1-47D3-B67F-A62EFF666E3E}">
          <x14:id>{B15F113F-19F1-AFB4-3A35-133BF7764D39}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15F113F-19F1-AFB4-3A35-133BF7764D39}">
            <x14:dataBar gradient="1">
              <x14:cfvo type="min"/>
              <x14:cfvo type="max"/>
              <x14:fillColor rgb="FF275EFE"/>
            </x14:dataBar>
          </x14:cfRule>
          <xm:sqref>H5:H9</xm:sqref>
        </x14:conditionalFormatting>
      </x14:conditionalFormattings>
    </x:ext>
  </x:extLst>
</x:worksheet>
</file>